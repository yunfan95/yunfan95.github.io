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NqWA3KGyE9Wr2wzrOFEL6tvXttA=="/>
    </ext>
  </extLst>
</workbook>
</file>

<file path=xl/sharedStrings.xml><?xml version="1.0" encoding="utf-8"?>
<sst xmlns="http://schemas.openxmlformats.org/spreadsheetml/2006/main" count="53" uniqueCount="34">
  <si>
    <t>Name</t>
  </si>
  <si>
    <t>Size (mm)</t>
  </si>
  <si>
    <t>ESR @DC (ohms)</t>
  </si>
  <si>
    <t>ESR @ 1KHz (ohms)</t>
  </si>
  <si>
    <t>Value (F)</t>
  </si>
  <si>
    <t>Voltage (V)</t>
  </si>
  <si>
    <t>Mass(g)</t>
  </si>
  <si>
    <t>Datasheet</t>
  </si>
  <si>
    <t>Discharge current (A)</t>
  </si>
  <si>
    <t>CPH3225A</t>
  </si>
  <si>
    <t>NA</t>
  </si>
  <si>
    <t>5u</t>
  </si>
  <si>
    <t>EEC-EP0F333A</t>
  </si>
  <si>
    <t>XH414H-II06E</t>
  </si>
  <si>
    <t>https://media.digikey.com/pdf/Data%20Sheets/Seiko%20Instruments%20PDFs/XH414H-II06E.pdf</t>
  </si>
  <si>
    <t>DC-2R5E204T614-E</t>
  </si>
  <si>
    <t>https://www.elna.co.jp/en/capacitor/double_layer/catalog/pdf/dc_e.pdf</t>
  </si>
  <si>
    <t xml:space="preserve"> 4696PHBK-ND</t>
  </si>
  <si>
    <t>https://www.vishay.com/docs/28409/196hvc.pdf</t>
  </si>
  <si>
    <t>25m</t>
  </si>
  <si>
    <t>EECS0HD334</t>
  </si>
  <si>
    <t>https://media.digikey.com/pdf/Data%20Sheets/Panasonic%20Electronic%20Components/SD_Series.pdf</t>
  </si>
  <si>
    <t xml:space="preserve">FCS0V474ZFTBR24
</t>
  </si>
  <si>
    <t>https://api.kemet.com/component-edge/download/specsheet/FCS0V474ZFTBR24.pdf</t>
  </si>
  <si>
    <t xml:space="preserve">338-EDC474Z5R5H-ND
</t>
  </si>
  <si>
    <t>https://www.cde.com/resources/catalogs/EDC.pdf</t>
  </si>
  <si>
    <t xml:space="preserve"> 
4697PHBK-ND
</t>
  </si>
  <si>
    <t>MAL219612334E3</t>
  </si>
  <si>
    <t>https://www.digikey.com/en/products/detail/vishay-beyschlag-draloric-bc-components/MAL219612224E3/5629601</t>
  </si>
  <si>
    <t>SCE5R5C474</t>
  </si>
  <si>
    <t>https://media.digikey.com/pdf/Data%20Sheets/Sruite/SCE_Series.pdf</t>
  </si>
  <si>
    <t xml:space="preserve">SCMR14H474PRBB0
</t>
  </si>
  <si>
    <t>https://datasheets.kyocera-avx.com/AVX-SCM.pdf</t>
  </si>
  <si>
    <t xml:space="preserve">FT0H224ZF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</si>
</sst>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Arimo"/>
    </font>
    <font>
      <b/>
      <u/>
      <sz val="11.0"/>
      <color theme="1"/>
      <name val="Arimo"/>
    </font>
    <font>
      <sz val="11.0"/>
      <color theme="1"/>
      <name val="Arimo"/>
    </font>
    <font>
      <sz val="11.0"/>
      <color theme="1"/>
      <name val="Arial"/>
    </font>
    <font>
      <sz val="11.0"/>
      <color theme="1"/>
      <name val="等线"/>
    </font>
    <font>
      <u/>
      <sz val="11.0"/>
      <color theme="10"/>
      <name val="等线"/>
    </font>
    <font>
      <u/>
      <sz val="11.0"/>
      <color theme="10"/>
      <name val="等线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vertical="center"/>
    </xf>
    <xf borderId="2" fillId="3" fontId="1" numFmtId="0" xfId="0" applyAlignment="1" applyBorder="1" applyFont="1">
      <alignment horizontal="center" vertical="center"/>
    </xf>
    <xf borderId="3" fillId="3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center" vertical="center"/>
    </xf>
    <xf borderId="5" fillId="4" fontId="3" numFmtId="0" xfId="0" applyAlignment="1" applyBorder="1" applyFill="1" applyFont="1">
      <alignment horizontal="center" vertical="center"/>
    </xf>
    <xf borderId="5" fillId="0" fontId="5" numFmtId="0" xfId="0" applyBorder="1" applyFont="1"/>
    <xf borderId="5" fillId="0" fontId="5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8" fillId="0" fontId="4" numFmtId="0" xfId="0" applyAlignment="1" applyBorder="1" applyFont="1">
      <alignment horizontal="center" vertical="center"/>
    </xf>
    <xf borderId="8" fillId="4" fontId="3" numFmtId="0" xfId="0" applyAlignment="1" applyBorder="1" applyFont="1">
      <alignment horizontal="center" vertical="center"/>
    </xf>
    <xf borderId="8" fillId="5" fontId="4" numFmtId="0" xfId="0" applyAlignment="1" applyBorder="1" applyFill="1" applyFont="1">
      <alignment horizontal="center" shrinkToFit="0" vertical="center" wrapText="1"/>
    </xf>
    <xf borderId="8" fillId="0" fontId="5" numFmtId="0" xfId="0" applyBorder="1" applyFont="1"/>
    <xf borderId="8" fillId="0" fontId="5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left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left" vertical="center"/>
    </xf>
    <xf borderId="9" fillId="0" fontId="5" numFmtId="0" xfId="0" applyBorder="1" applyFont="1"/>
    <xf borderId="7" fillId="0" fontId="5" numFmtId="0" xfId="0" applyAlignment="1" applyBorder="1" applyFont="1">
      <alignment horizontal="left" shrinkToFit="0" vertical="center" wrapText="1"/>
    </xf>
    <xf borderId="7" fillId="0" fontId="5" numFmtId="0" xfId="0" applyAlignment="1" applyBorder="1" applyFont="1">
      <alignment shrinkToFit="0" wrapText="1"/>
    </xf>
    <xf borderId="10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shrinkToFit="0" vertical="center" wrapText="1"/>
    </xf>
    <xf borderId="12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6172214865731064"/>
          <c:y val="0.015009296489926847"/>
          <c:w val="0.9246219498443625"/>
          <c:h val="0.8685854380883464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Sheet1!$B$2:$B$14</c:f>
            </c:numRef>
          </c:xVal>
          <c:yVal>
            <c:numRef>
              <c:f>Sheet1!$C$2:$C$14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013983"/>
        <c:axId val="1600089837"/>
      </c:scatterChart>
      <c:valAx>
        <c:axId val="7030139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00089837"/>
      </c:valAx>
      <c:valAx>
        <c:axId val="1600089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0301398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7.jpg"/><Relationship Id="rId10" Type="http://schemas.openxmlformats.org/officeDocument/2006/relationships/image" Target="../media/image12.jpg"/><Relationship Id="rId13" Type="http://schemas.openxmlformats.org/officeDocument/2006/relationships/image" Target="../media/image9.jpg"/><Relationship Id="rId12" Type="http://schemas.openxmlformats.org/officeDocument/2006/relationships/image" Target="../media/image8.jpg"/><Relationship Id="rId1" Type="http://schemas.openxmlformats.org/officeDocument/2006/relationships/chart" Target="../charts/chart1.xml"/><Relationship Id="rId2" Type="http://schemas.openxmlformats.org/officeDocument/2006/relationships/image" Target="../media/image1.jpg"/><Relationship Id="rId3" Type="http://schemas.openxmlformats.org/officeDocument/2006/relationships/image" Target="../media/image4.jpg"/><Relationship Id="rId4" Type="http://schemas.openxmlformats.org/officeDocument/2006/relationships/image" Target="../media/image6.jpg"/><Relationship Id="rId9" Type="http://schemas.openxmlformats.org/officeDocument/2006/relationships/image" Target="../media/image3.jpg"/><Relationship Id="rId5" Type="http://schemas.openxmlformats.org/officeDocument/2006/relationships/image" Target="../media/image2.jpg"/><Relationship Id="rId6" Type="http://schemas.openxmlformats.org/officeDocument/2006/relationships/image" Target="../media/image10.jpg"/><Relationship Id="rId7" Type="http://schemas.openxmlformats.org/officeDocument/2006/relationships/image" Target="../media/image11.jpg"/><Relationship Id="rId8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20</xdr:row>
      <xdr:rowOff>47625</xdr:rowOff>
    </xdr:from>
    <xdr:ext cx="6657975" cy="4610100"/>
    <xdr:graphicFrame>
      <xdr:nvGraphicFramePr>
        <xdr:cNvPr id="53409115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1495425</xdr:colOff>
      <xdr:row>3</xdr:row>
      <xdr:rowOff>47625</xdr:rowOff>
    </xdr:from>
    <xdr:ext cx="504825" cy="504825"/>
    <xdr:pic>
      <xdr:nvPicPr>
        <xdr:cNvPr descr="XH4 SERIES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1428750</xdr:colOff>
      <xdr:row>2</xdr:row>
      <xdr:rowOff>47625</xdr:rowOff>
    </xdr:from>
    <xdr:ext cx="638175" cy="466725"/>
    <xdr:pic>
      <xdr:nvPicPr>
        <xdr:cNvPr descr="EP3-SERIES"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1552575</xdr:colOff>
      <xdr:row>1</xdr:row>
      <xdr:rowOff>38100</xdr:rowOff>
    </xdr:from>
    <xdr:ext cx="504825" cy="514350"/>
    <xdr:pic>
      <xdr:nvPicPr>
        <xdr:cNvPr descr="CPH3225A 1210 (3225 Metric)"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1514475</xdr:colOff>
      <xdr:row>4</xdr:row>
      <xdr:rowOff>28575</xdr:rowOff>
    </xdr:from>
    <xdr:ext cx="504825" cy="504825"/>
    <xdr:pic>
      <xdr:nvPicPr>
        <xdr:cNvPr descr="DC(K) Series; 604; 6.8x2.1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1457325</xdr:colOff>
      <xdr:row>5</xdr:row>
      <xdr:rowOff>47625</xdr:rowOff>
    </xdr:from>
    <xdr:ext cx="514350" cy="514350"/>
    <xdr:pic>
      <xdr:nvPicPr>
        <xdr:cNvPr descr="MAL219691131E3" id="0" name="image1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1495425</xdr:colOff>
      <xdr:row>6</xdr:row>
      <xdr:rowOff>85725</xdr:rowOff>
    </xdr:from>
    <xdr:ext cx="495300" cy="495300"/>
    <xdr:pic>
      <xdr:nvPicPr>
        <xdr:cNvPr descr="SD Series" id="0" name="image1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1438275</xdr:colOff>
      <xdr:row>7</xdr:row>
      <xdr:rowOff>0</xdr:rowOff>
    </xdr:from>
    <xdr:ext cx="600075" cy="600075"/>
    <xdr:pic>
      <xdr:nvPicPr>
        <xdr:cNvPr descr="FC Series_10.70 mm" id="0" name="image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1562100</xdr:colOff>
      <xdr:row>8</xdr:row>
      <xdr:rowOff>38100</xdr:rowOff>
    </xdr:from>
    <xdr:ext cx="514350" cy="438150"/>
    <xdr:pic>
      <xdr:nvPicPr>
        <xdr:cNvPr descr="EDC474Z5R5H" id="0" name="image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1638300</xdr:colOff>
      <xdr:row>9</xdr:row>
      <xdr:rowOff>76200</xdr:rowOff>
    </xdr:from>
    <xdr:ext cx="361950" cy="371475"/>
    <xdr:pic>
      <xdr:nvPicPr>
        <xdr:cNvPr descr="MAL219691231E3" id="0" name="image1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1581150</xdr:colOff>
      <xdr:row>10</xdr:row>
      <xdr:rowOff>57150</xdr:rowOff>
    </xdr:from>
    <xdr:ext cx="495300" cy="428625"/>
    <xdr:pic>
      <xdr:nvPicPr>
        <xdr:cNvPr descr="Radial, Can" id="0" name="image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1724025</xdr:colOff>
      <xdr:row>12</xdr:row>
      <xdr:rowOff>28575</xdr:rowOff>
    </xdr:from>
    <xdr:ext cx="419100" cy="419100"/>
    <xdr:pic>
      <xdr:nvPicPr>
        <xdr:cNvPr descr="SCM Series" id="0" name="image8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1724025</xdr:colOff>
      <xdr:row>13</xdr:row>
      <xdr:rowOff>38100</xdr:rowOff>
    </xdr:from>
    <xdr:ext cx="371475" cy="361950"/>
    <xdr:pic>
      <xdr:nvPicPr>
        <xdr:cNvPr descr="FT0H474ZF" id="0" name="image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.xml"/><Relationship Id="rId10" Type="http://schemas.openxmlformats.org/officeDocument/2006/relationships/hyperlink" Target="https://media.digikey.com/pdf/Data%20Sheets/Sruite/SCE_Series.pdf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https://www.vishay.com/docs/28409/196hvc.pdf" TargetMode="External"/><Relationship Id="rId3" Type="http://schemas.openxmlformats.org/officeDocument/2006/relationships/hyperlink" Target="https://media.digikey.com/pdf/Data%20Sheets/Panasonic%20Electronic%20Components/SD_Series.pdf" TargetMode="External"/><Relationship Id="rId4" Type="http://schemas.openxmlformats.org/officeDocument/2006/relationships/hyperlink" Target="https://api.kemet.com/component-edge/download/specsheet/FCS0V474ZFTBR24.pdf" TargetMode="External"/><Relationship Id="rId9" Type="http://schemas.openxmlformats.org/officeDocument/2006/relationships/hyperlink" Target="https://datasheets.kyocera-avx.com/AVX-SCM.pdf" TargetMode="External"/><Relationship Id="rId5" Type="http://schemas.openxmlformats.org/officeDocument/2006/relationships/hyperlink" Target="https://www.cde.com/resources/catalogs/EDC.pdf" TargetMode="External"/><Relationship Id="rId6" Type="http://schemas.openxmlformats.org/officeDocument/2006/relationships/hyperlink" Target="https://www.vishay.com/docs/28409/196hvc.pdf" TargetMode="External"/><Relationship Id="rId7" Type="http://schemas.openxmlformats.org/officeDocument/2006/relationships/hyperlink" Target="https://www.digikey.com/en/products/detail/vishay-beyschlag-draloric-bc-components/MAL219612224E3/5629601" TargetMode="External"/><Relationship Id="rId8" Type="http://schemas.openxmlformats.org/officeDocument/2006/relationships/hyperlink" Target="https://media.digikey.com/pdf/Data%20Sheets/Sruite/SCE_Seri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3" width="12.57"/>
    <col customWidth="1" min="4" max="4" width="16.71"/>
    <col customWidth="1" min="5" max="5" width="15.86"/>
    <col customWidth="1" min="6" max="6" width="9.86"/>
    <col customWidth="1" min="7" max="7" width="12.57"/>
    <col customWidth="1" min="8" max="8" width="9.86"/>
    <col customWidth="1" min="9" max="9" width="41.57"/>
    <col customWidth="1" min="10" max="10" width="25.43"/>
    <col customWidth="1" min="11" max="26" width="9.86"/>
  </cols>
  <sheetData>
    <row r="1" ht="39.75" customHeight="1">
      <c r="A1" s="1" t="s">
        <v>0</v>
      </c>
      <c r="B1" s="1" t="s">
        <v>1</v>
      </c>
      <c r="C1" s="1"/>
      <c r="D1" s="2" t="s">
        <v>2</v>
      </c>
      <c r="E1" s="3" t="s">
        <v>3</v>
      </c>
      <c r="F1" s="4" t="s">
        <v>4</v>
      </c>
      <c r="G1" s="1" t="s">
        <v>5</v>
      </c>
      <c r="H1" s="5" t="s">
        <v>6</v>
      </c>
      <c r="I1" s="3" t="s">
        <v>7</v>
      </c>
      <c r="J1" s="6" t="s">
        <v>8</v>
      </c>
    </row>
    <row r="2" ht="49.5" customHeight="1">
      <c r="A2" s="7" t="s">
        <v>9</v>
      </c>
      <c r="B2" s="8">
        <v>3.2</v>
      </c>
      <c r="C2" s="8">
        <f t="shared" ref="C2:C14" si="1">G2/E2</f>
        <v>0.020625</v>
      </c>
      <c r="D2" s="9" t="s">
        <v>10</v>
      </c>
      <c r="E2" s="8">
        <v>160.0</v>
      </c>
      <c r="F2" s="8">
        <v>0.011</v>
      </c>
      <c r="G2" s="8">
        <v>3.3</v>
      </c>
      <c r="H2" s="10"/>
      <c r="I2" s="11"/>
      <c r="J2" s="12" t="s">
        <v>11</v>
      </c>
    </row>
    <row r="3" ht="49.5" customHeight="1">
      <c r="A3" s="13" t="s">
        <v>12</v>
      </c>
      <c r="B3" s="14">
        <v>3.8</v>
      </c>
      <c r="C3" s="8">
        <f t="shared" si="1"/>
        <v>0.009428571429</v>
      </c>
      <c r="D3" s="15" t="s">
        <v>10</v>
      </c>
      <c r="E3" s="16">
        <v>350.0</v>
      </c>
      <c r="F3" s="14">
        <v>0.033</v>
      </c>
      <c r="G3" s="16">
        <v>3.3</v>
      </c>
      <c r="H3" s="17"/>
      <c r="I3" s="18"/>
      <c r="J3" s="19" t="s">
        <v>11</v>
      </c>
    </row>
    <row r="4" ht="49.5" customHeight="1">
      <c r="A4" s="20" t="s">
        <v>13</v>
      </c>
      <c r="B4" s="21">
        <v>4.8</v>
      </c>
      <c r="C4" s="8">
        <f t="shared" si="1"/>
        <v>0.033</v>
      </c>
      <c r="D4" s="15" t="s">
        <v>10</v>
      </c>
      <c r="E4" s="21">
        <v>100.0</v>
      </c>
      <c r="F4" s="21">
        <v>0.07</v>
      </c>
      <c r="G4" s="21">
        <v>3.3</v>
      </c>
      <c r="H4" s="22">
        <v>0.06</v>
      </c>
      <c r="I4" s="18" t="s">
        <v>14</v>
      </c>
      <c r="J4" s="19" t="s">
        <v>10</v>
      </c>
    </row>
    <row r="5" ht="49.5" customHeight="1">
      <c r="A5" s="20" t="s">
        <v>15</v>
      </c>
      <c r="B5" s="21">
        <v>6.8</v>
      </c>
      <c r="C5" s="8">
        <f t="shared" si="1"/>
        <v>0.025</v>
      </c>
      <c r="D5" s="15" t="s">
        <v>10</v>
      </c>
      <c r="E5" s="21">
        <v>100.0</v>
      </c>
      <c r="F5" s="21">
        <v>0.2</v>
      </c>
      <c r="G5" s="21">
        <v>2.5</v>
      </c>
      <c r="H5" s="22" t="s">
        <v>10</v>
      </c>
      <c r="I5" s="18" t="s">
        <v>16</v>
      </c>
      <c r="J5" s="23" t="s">
        <v>10</v>
      </c>
    </row>
    <row r="6" ht="49.5" customHeight="1">
      <c r="A6" s="24" t="s">
        <v>17</v>
      </c>
      <c r="B6" s="21">
        <v>7.0</v>
      </c>
      <c r="C6" s="8">
        <f t="shared" si="1"/>
        <v>0.56</v>
      </c>
      <c r="D6" s="21">
        <v>7.5</v>
      </c>
      <c r="E6" s="22">
        <v>2.5</v>
      </c>
      <c r="F6" s="21">
        <v>4.0</v>
      </c>
      <c r="G6" s="21">
        <v>1.4</v>
      </c>
      <c r="H6" s="22">
        <v>0.5</v>
      </c>
      <c r="I6" s="25" t="s">
        <v>18</v>
      </c>
      <c r="J6" s="23" t="s">
        <v>19</v>
      </c>
    </row>
    <row r="7" ht="49.5" customHeight="1">
      <c r="A7" s="26" t="s">
        <v>20</v>
      </c>
      <c r="B7" s="21">
        <v>10.5</v>
      </c>
      <c r="C7" s="8">
        <f t="shared" si="1"/>
        <v>0.07333333333</v>
      </c>
      <c r="D7" s="15" t="s">
        <v>10</v>
      </c>
      <c r="E7" s="21">
        <v>75.0</v>
      </c>
      <c r="F7" s="21">
        <v>0.33</v>
      </c>
      <c r="G7" s="21">
        <v>5.5</v>
      </c>
      <c r="H7" s="22">
        <v>1.1</v>
      </c>
      <c r="I7" s="25" t="s">
        <v>21</v>
      </c>
      <c r="J7" s="27"/>
    </row>
    <row r="8" ht="49.5" customHeight="1">
      <c r="A8" s="28" t="s">
        <v>22</v>
      </c>
      <c r="B8" s="22">
        <v>10.7</v>
      </c>
      <c r="C8" s="8">
        <f t="shared" si="1"/>
        <v>0.07</v>
      </c>
      <c r="D8" s="15" t="s">
        <v>10</v>
      </c>
      <c r="E8" s="22">
        <v>50.0</v>
      </c>
      <c r="F8" s="22">
        <v>0.47</v>
      </c>
      <c r="G8" s="22">
        <v>3.5</v>
      </c>
      <c r="H8" s="22">
        <v>1.4</v>
      </c>
      <c r="I8" s="25" t="s">
        <v>23</v>
      </c>
      <c r="J8" s="27"/>
    </row>
    <row r="9" ht="39.75" customHeight="1">
      <c r="A9" s="29" t="s">
        <v>24</v>
      </c>
      <c r="B9" s="22">
        <v>11.5</v>
      </c>
      <c r="C9" s="8">
        <f t="shared" si="1"/>
        <v>0.11</v>
      </c>
      <c r="D9" s="15" t="s">
        <v>10</v>
      </c>
      <c r="E9" s="22">
        <v>50.0</v>
      </c>
      <c r="F9" s="22">
        <v>0.47</v>
      </c>
      <c r="G9" s="22">
        <v>5.5</v>
      </c>
      <c r="H9" s="22" t="s">
        <v>10</v>
      </c>
      <c r="I9" s="25" t="s">
        <v>25</v>
      </c>
      <c r="J9" s="27"/>
    </row>
    <row r="10" ht="39.75" customHeight="1">
      <c r="A10" s="29" t="s">
        <v>26</v>
      </c>
      <c r="B10" s="22">
        <v>12.0</v>
      </c>
      <c r="C10" s="8">
        <f t="shared" si="1"/>
        <v>2.333333333</v>
      </c>
      <c r="D10" s="22">
        <v>2.5</v>
      </c>
      <c r="E10" s="22">
        <v>0.6</v>
      </c>
      <c r="F10" s="22">
        <v>15.0</v>
      </c>
      <c r="G10" s="22">
        <v>1.4</v>
      </c>
      <c r="H10" s="22">
        <v>1.2</v>
      </c>
      <c r="I10" s="25" t="s">
        <v>18</v>
      </c>
      <c r="J10" s="27"/>
    </row>
    <row r="11" ht="39.75" customHeight="1">
      <c r="A11" s="26" t="s">
        <v>27</v>
      </c>
      <c r="B11" s="22">
        <v>13.0</v>
      </c>
      <c r="C11" s="8">
        <f t="shared" si="1"/>
        <v>0.07333333333</v>
      </c>
      <c r="D11" s="15" t="s">
        <v>10</v>
      </c>
      <c r="E11" s="22">
        <v>75.0</v>
      </c>
      <c r="F11" s="22">
        <v>0.47</v>
      </c>
      <c r="G11" s="22">
        <v>5.5</v>
      </c>
      <c r="H11" s="22">
        <v>2.8</v>
      </c>
      <c r="I11" s="25" t="s">
        <v>28</v>
      </c>
      <c r="J11" s="27"/>
    </row>
    <row r="12" ht="39.75" customHeight="1">
      <c r="A12" s="30" t="s">
        <v>29</v>
      </c>
      <c r="B12" s="31">
        <v>13.5</v>
      </c>
      <c r="C12" s="8">
        <f t="shared" si="1"/>
        <v>0.275</v>
      </c>
      <c r="D12" s="15" t="s">
        <v>10</v>
      </c>
      <c r="E12" s="31">
        <v>20.0</v>
      </c>
      <c r="F12" s="31">
        <v>0.47</v>
      </c>
      <c r="G12" s="31">
        <v>5.5</v>
      </c>
      <c r="H12" s="31" t="s">
        <v>10</v>
      </c>
      <c r="I12" s="32" t="s">
        <v>30</v>
      </c>
      <c r="J12" s="33"/>
    </row>
    <row r="13" ht="39.75" customHeight="1">
      <c r="A13" s="28" t="s">
        <v>31</v>
      </c>
      <c r="B13" s="22">
        <v>14.0</v>
      </c>
      <c r="C13" s="8">
        <f t="shared" si="1"/>
        <v>15.78947368</v>
      </c>
      <c r="D13" s="22">
        <v>1.72</v>
      </c>
      <c r="E13" s="22">
        <v>0.38</v>
      </c>
      <c r="F13" s="22">
        <v>0.47</v>
      </c>
      <c r="G13" s="22">
        <v>6.0</v>
      </c>
      <c r="H13" s="22" t="s">
        <v>10</v>
      </c>
      <c r="I13" s="25" t="s">
        <v>32</v>
      </c>
      <c r="J13" s="27"/>
    </row>
    <row r="14" ht="39.75" customHeight="1">
      <c r="A14" s="28" t="s">
        <v>33</v>
      </c>
      <c r="B14" s="22">
        <v>14.5</v>
      </c>
      <c r="C14" s="8">
        <f t="shared" si="1"/>
        <v>0.55</v>
      </c>
      <c r="D14" s="15" t="s">
        <v>10</v>
      </c>
      <c r="E14" s="22">
        <v>10.0</v>
      </c>
      <c r="F14" s="22">
        <v>0.22</v>
      </c>
      <c r="G14" s="22">
        <v>5.5</v>
      </c>
      <c r="H14" s="22" t="s">
        <v>10</v>
      </c>
      <c r="I14" s="25" t="s">
        <v>30</v>
      </c>
      <c r="J14" s="27"/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:id="rId1" ref="D1"/>
    <hyperlink r:id="rId2" ref="I6"/>
    <hyperlink r:id="rId3" ref="I7"/>
    <hyperlink r:id="rId4" ref="I8"/>
    <hyperlink r:id="rId5" ref="I9"/>
    <hyperlink r:id="rId6" ref="I10"/>
    <hyperlink r:id="rId7" ref="I11"/>
    <hyperlink r:id="rId8" ref="I12"/>
    <hyperlink r:id="rId9" ref="I13"/>
    <hyperlink r:id="rId10" ref="I14"/>
  </hyperlinks>
  <printOptions/>
  <pageMargins bottom="0.75" footer="0.0" header="0.0" left="0.7" right="0.7" top="0.75"/>
  <pageSetup paperSize="9" orientation="portrait"/>
  <drawing r:id="rId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